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8916"/>
  </bookViews>
  <sheets>
    <sheet name="Dashboard" sheetId="3" r:id="rId1"/>
    <sheet name="Pivot Tables" sheetId="5" state="hidden" r:id="rId2"/>
    <sheet name="Data" sheetId="1" r:id="rId3"/>
  </sheets>
  <definedNames>
    <definedName name="Slicer_Student_Name">#N/A</definedName>
    <definedName name="Slicer_Subject">#N/A</definedName>
    <definedName name="Slicer_Grade">#N/A</definedName>
  </definedNames>
  <calcPr calcId="191029"/>
  <pivotCaches>
    <pivotCache cacheId="0" r:id="rId4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6"/>
        <x14:slicerCache r:id="rId5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<sst xmlns="http://schemas.openxmlformats.org/spreadsheetml/2006/main" count="230" uniqueCount="43">
  <si>
    <t>STUDENT PERFORMANCE ANALYSIS DASHBOARD</t>
  </si>
  <si>
    <t>Objective:   Analyze student performance across subjects and grades using Excel dashboards, pivot tables, charts, and slicers.</t>
  </si>
  <si>
    <t>TOTAL STUDENTS</t>
  </si>
  <si>
    <t>AVERAGE MARKS</t>
  </si>
  <si>
    <t>HIGHEST MARKS</t>
  </si>
  <si>
    <t>LOWEST MARKS</t>
  </si>
  <si>
    <t>GRADE A COUNT</t>
  </si>
  <si>
    <t>GRADE B COUNT</t>
  </si>
  <si>
    <t>GRADE C COUNT</t>
  </si>
  <si>
    <r>
      <t>Created By: S. Sania Mehek</t>
    </r>
    <r>
      <rPr>
        <sz val="20"/>
        <color theme="1"/>
        <rFont val="Calibri"/>
        <charset val="134"/>
        <scheme val="minor"/>
      </rPr>
      <t xml:space="preserve">
Tools Used:
Microsoft Excel | Pivot Tables | Slicers | Data Visualization</t>
    </r>
  </si>
  <si>
    <t>Sum of Marks Obtained</t>
  </si>
  <si>
    <t>Student Name</t>
  </si>
  <si>
    <t>Subject</t>
  </si>
  <si>
    <t>Ayaan</t>
  </si>
  <si>
    <t>Kabir</t>
  </si>
  <si>
    <t>Mehek</t>
  </si>
  <si>
    <t>Rehan</t>
  </si>
  <si>
    <t>Sara</t>
  </si>
  <si>
    <t>Zoya</t>
  </si>
  <si>
    <t>Grand Total</t>
  </si>
  <si>
    <t>Computer</t>
  </si>
  <si>
    <t>English</t>
  </si>
  <si>
    <t>History</t>
  </si>
  <si>
    <t>Math</t>
  </si>
  <si>
    <t>Science</t>
  </si>
  <si>
    <t>Student ID</t>
  </si>
  <si>
    <t>Class</t>
  </si>
  <si>
    <t>Gender</t>
  </si>
  <si>
    <t>Marks Obtained</t>
  </si>
  <si>
    <t>Max Marks</t>
  </si>
  <si>
    <t>Grade</t>
  </si>
  <si>
    <t>STU001</t>
  </si>
  <si>
    <t>10A</t>
  </si>
  <si>
    <t>Male</t>
  </si>
  <si>
    <t>A</t>
  </si>
  <si>
    <t>B</t>
  </si>
  <si>
    <t>C</t>
  </si>
  <si>
    <t>STU002</t>
  </si>
  <si>
    <t>Female</t>
  </si>
  <si>
    <t>STU003</t>
  </si>
  <si>
    <t>STU004</t>
  </si>
  <si>
    <t>STU005</t>
  </si>
  <si>
    <t>STU006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</si>
</sst>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0" xfId="0" applyFont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821221089554"/>
          <c:y val="0.279899612834077"/>
          <c:w val="0.799890386934123"/>
          <c:h val="0.390098104927329"/>
        </c:manualLayout>
      </c:layout>
      <c:lineChart>
        <c:grouping val="standard"/>
        <c:varyColors val="0"/>
        <c:ser>
          <c:idx val="0"/>
          <c:order val="0"/>
          <c:tx>
            <c:strRef>
              <c:f>"Computer"</c:f>
              <c:strCache>
                <c:ptCount val="1"/>
                <c:pt idx="0">
                  <c:v>Computer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{"Ayaan","Kabir","Mehek","Rehan","Sara","Zoya"}</c:f>
              <c:strCache>
                <c:ptCount val="6"/>
                <c:pt idx="0">
                  <c:v>Ayaan</c:v>
                </c:pt>
                <c:pt idx="1">
                  <c:v>Kabir</c:v>
                </c:pt>
                <c:pt idx="2">
                  <c:v>Mehek</c:v>
                </c:pt>
                <c:pt idx="3">
                  <c:v>Rehan</c:v>
                </c:pt>
                <c:pt idx="4">
                  <c:v>Sara</c:v>
                </c:pt>
                <c:pt idx="5">
                  <c:v>Zoya</c:v>
                </c:pt>
              </c:strCache>
            </c:strRef>
          </c:cat>
          <c:val>
            <c:numRef>
              <c:f>{92,88,95,81,90,94}</c:f>
              <c:numCache>
                <c:formatCode>General</c:formatCode>
                <c:ptCount val="6"/>
                <c:pt idx="0">
                  <c:v>92</c:v>
                </c:pt>
                <c:pt idx="1">
                  <c:v>88</c:v>
                </c:pt>
                <c:pt idx="2">
                  <c:v>95</c:v>
                </c:pt>
                <c:pt idx="3">
                  <c:v>81</c:v>
                </c:pt>
                <c:pt idx="4">
                  <c:v>90</c:v>
                </c:pt>
                <c:pt idx="5">
                  <c:v>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{"Ayaan","Kabir","Mehek","Rehan","Sara","Zoya"}</c:f>
              <c:strCache>
                <c:ptCount val="6"/>
                <c:pt idx="0">
                  <c:v>Ayaan</c:v>
                </c:pt>
                <c:pt idx="1">
                  <c:v>Kabir</c:v>
                </c:pt>
                <c:pt idx="2">
                  <c:v>Mehek</c:v>
                </c:pt>
                <c:pt idx="3">
                  <c:v>Rehan</c:v>
                </c:pt>
                <c:pt idx="4">
                  <c:v>Sara</c:v>
                </c:pt>
                <c:pt idx="5">
                  <c:v>Zoya</c:v>
                </c:pt>
              </c:strCache>
            </c:strRef>
          </c:cat>
          <c:val>
            <c:numRef>
              <c:f>{70,71,76,65,75,83}</c:f>
              <c:numCache>
                <c:formatCode>General</c:formatCode>
                <c:ptCount val="6"/>
                <c:pt idx="0">
                  <c:v>70</c:v>
                </c:pt>
                <c:pt idx="1">
                  <c:v>71</c:v>
                </c:pt>
                <c:pt idx="2">
                  <c:v>76</c:v>
                </c:pt>
                <c:pt idx="3">
                  <c:v>65</c:v>
                </c:pt>
                <c:pt idx="4">
                  <c:v>75</c:v>
                </c:pt>
                <c:pt idx="5">
                  <c:v>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"History"</c:f>
              <c:strCache>
                <c:ptCount val="1"/>
                <c:pt idx="0">
                  <c:v>History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{"Ayaan","Kabir","Mehek","Rehan","Sara","Zoya"}</c:f>
              <c:strCache>
                <c:ptCount val="6"/>
                <c:pt idx="0">
                  <c:v>Ayaan</c:v>
                </c:pt>
                <c:pt idx="1">
                  <c:v>Kabir</c:v>
                </c:pt>
                <c:pt idx="2">
                  <c:v>Mehek</c:v>
                </c:pt>
                <c:pt idx="3">
                  <c:v>Rehan</c:v>
                </c:pt>
                <c:pt idx="4">
                  <c:v>Sara</c:v>
                </c:pt>
                <c:pt idx="5">
                  <c:v>Zoya</c:v>
                </c:pt>
              </c:strCache>
            </c:strRef>
          </c:cat>
          <c:val>
            <c:numRef>
              <c:f>{65,63,72,60,68,78}</c:f>
              <c:numCache>
                <c:formatCode>General</c:formatCode>
                <c:ptCount val="6"/>
                <c:pt idx="0">
                  <c:v>65</c:v>
                </c:pt>
                <c:pt idx="1">
                  <c:v>63</c:v>
                </c:pt>
                <c:pt idx="2">
                  <c:v>72</c:v>
                </c:pt>
                <c:pt idx="3">
                  <c:v>60</c:v>
                </c:pt>
                <c:pt idx="4">
                  <c:v>68</c:v>
                </c:pt>
                <c:pt idx="5">
                  <c:v>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"Math"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{"Ayaan","Kabir","Mehek","Rehan","Sara","Zoya"}</c:f>
              <c:strCache>
                <c:ptCount val="6"/>
                <c:pt idx="0">
                  <c:v>Ayaan</c:v>
                </c:pt>
                <c:pt idx="1">
                  <c:v>Kabir</c:v>
                </c:pt>
                <c:pt idx="2">
                  <c:v>Mehek</c:v>
                </c:pt>
                <c:pt idx="3">
                  <c:v>Rehan</c:v>
                </c:pt>
                <c:pt idx="4">
                  <c:v>Sara</c:v>
                </c:pt>
                <c:pt idx="5">
                  <c:v>Zoya</c:v>
                </c:pt>
              </c:strCache>
            </c:strRef>
          </c:cat>
          <c:val>
            <c:numRef>
              <c:f>{86,77,90,68,80,88}</c:f>
              <c:numCache>
                <c:formatCode>General</c:formatCode>
                <c:ptCount val="6"/>
                <c:pt idx="0">
                  <c:v>86</c:v>
                </c:pt>
                <c:pt idx="1">
                  <c:v>77</c:v>
                </c:pt>
                <c:pt idx="2">
                  <c:v>90</c:v>
                </c:pt>
                <c:pt idx="3">
                  <c:v>68</c:v>
                </c:pt>
                <c:pt idx="4">
                  <c:v>80</c:v>
                </c:pt>
                <c:pt idx="5">
                  <c:v>88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"Science"</c:f>
              <c:strCache>
                <c:ptCount val="1"/>
                <c:pt idx="0">
                  <c:v>Science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{"Ayaan","Kabir","Mehek","Rehan","Sara","Zoya"}</c:f>
              <c:strCache>
                <c:ptCount val="6"/>
                <c:pt idx="0">
                  <c:v>Ayaan</c:v>
                </c:pt>
                <c:pt idx="1">
                  <c:v>Kabir</c:v>
                </c:pt>
                <c:pt idx="2">
                  <c:v>Mehek</c:v>
                </c:pt>
                <c:pt idx="3">
                  <c:v>Rehan</c:v>
                </c:pt>
                <c:pt idx="4">
                  <c:v>Sara</c:v>
                </c:pt>
                <c:pt idx="5">
                  <c:v>Zoya</c:v>
                </c:pt>
              </c:strCache>
            </c:strRef>
          </c:cat>
          <c:val>
            <c:numRef>
              <c:f>{78,82,84,74,89,91}</c:f>
              <c:numCache>
                <c:formatCode>General</c:formatCode>
                <c:ptCount val="6"/>
                <c:pt idx="0">
                  <c:v>78</c:v>
                </c:pt>
                <c:pt idx="1">
                  <c:v>82</c:v>
                </c:pt>
                <c:pt idx="2">
                  <c:v>84</c:v>
                </c:pt>
                <c:pt idx="3">
                  <c:v>74</c:v>
                </c:pt>
                <c:pt idx="4">
                  <c:v>89</c:v>
                </c:pt>
                <c:pt idx="5">
                  <c:v>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3727650"/>
        <c:axId val="15816119"/>
      </c:lineChart>
      <c:catAx>
        <c:axId val="7637276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16119"/>
        <c:crosses val="autoZero"/>
        <c:auto val="1"/>
        <c:lblAlgn val="ctr"/>
        <c:lblOffset val="100"/>
        <c:noMultiLvlLbl val="0"/>
      </c:catAx>
      <c:valAx>
        <c:axId val="1581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7276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e8226d-2c3a-4646-9035-0bb8f4c5c3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[small project.xlsx]Pivot Tables!PivotTable4</c:name>
    <c:fmtId val="6"/>
  </c:pivotSource>
  <c:chart>
    <c:autoTitleDeleted val="1"/>
    <c:plotArea>
      <c:layout>
        <c:manualLayout>
          <c:layoutTarget val="inner"/>
          <c:xMode val="edge"/>
          <c:yMode val="edge"/>
          <c:x val="0.0983086945627662"/>
          <c:y val="0.0214904143475572"/>
          <c:w val="0.899812077173641"/>
          <c:h val="0.635064935064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Ayaan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Tables'!$A$5:$A$10</c:f>
              <c:strCache>
                <c:ptCount val="5"/>
                <c:pt idx="0">
                  <c:v>Computer</c:v>
                </c:pt>
                <c:pt idx="1">
                  <c:v>English</c:v>
                </c:pt>
                <c:pt idx="2">
                  <c:v>History</c:v>
                </c:pt>
                <c:pt idx="3">
                  <c:v>Math</c:v>
                </c:pt>
                <c:pt idx="4">
                  <c:v>Science</c:v>
                </c:pt>
              </c:strCache>
            </c:strRef>
          </c:cat>
          <c:val>
            <c:numRef>
              <c:f>'Pivot Tables'!$B$5:$B$10</c:f>
              <c:numCache>
                <c:formatCode>General</c:formatCode>
                <c:ptCount val="5"/>
                <c:pt idx="0">
                  <c:v>92</c:v>
                </c:pt>
                <c:pt idx="1">
                  <c:v>70</c:v>
                </c:pt>
                <c:pt idx="2">
                  <c:v>65</c:v>
                </c:pt>
                <c:pt idx="3">
                  <c:v>86</c:v>
                </c:pt>
                <c:pt idx="4">
                  <c:v>78</c:v>
                </c:pt>
              </c:numCache>
            </c:numRef>
          </c:val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Kabir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Tables'!$A$5:$A$10</c:f>
              <c:strCache>
                <c:ptCount val="5"/>
                <c:pt idx="0">
                  <c:v>Computer</c:v>
                </c:pt>
                <c:pt idx="1">
                  <c:v>English</c:v>
                </c:pt>
                <c:pt idx="2">
                  <c:v>History</c:v>
                </c:pt>
                <c:pt idx="3">
                  <c:v>Math</c:v>
                </c:pt>
                <c:pt idx="4">
                  <c:v>Science</c:v>
                </c:pt>
              </c:strCache>
            </c:strRef>
          </c:cat>
          <c:val>
            <c:numRef>
              <c:f>'Pivot Tables'!$C$5:$C$10</c:f>
              <c:numCache>
                <c:formatCode>General</c:formatCode>
                <c:ptCount val="5"/>
                <c:pt idx="0">
                  <c:v>88</c:v>
                </c:pt>
                <c:pt idx="1">
                  <c:v>71</c:v>
                </c:pt>
                <c:pt idx="2">
                  <c:v>63</c:v>
                </c:pt>
                <c:pt idx="3">
                  <c:v>77</c:v>
                </c:pt>
                <c:pt idx="4">
                  <c:v>82</c:v>
                </c:pt>
              </c:numCache>
            </c:numRef>
          </c:val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Mehek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Tables'!$A$5:$A$10</c:f>
              <c:strCache>
                <c:ptCount val="5"/>
                <c:pt idx="0">
                  <c:v>Computer</c:v>
                </c:pt>
                <c:pt idx="1">
                  <c:v>English</c:v>
                </c:pt>
                <c:pt idx="2">
                  <c:v>History</c:v>
                </c:pt>
                <c:pt idx="3">
                  <c:v>Math</c:v>
                </c:pt>
                <c:pt idx="4">
                  <c:v>Science</c:v>
                </c:pt>
              </c:strCache>
            </c:strRef>
          </c:cat>
          <c:val>
            <c:numRef>
              <c:f>'Pivot Tables'!$D$5:$D$10</c:f>
              <c:numCache>
                <c:formatCode>General</c:formatCode>
                <c:ptCount val="5"/>
                <c:pt idx="0">
                  <c:v>95</c:v>
                </c:pt>
                <c:pt idx="1">
                  <c:v>76</c:v>
                </c:pt>
                <c:pt idx="2">
                  <c:v>72</c:v>
                </c:pt>
                <c:pt idx="3">
                  <c:v>90</c:v>
                </c:pt>
                <c:pt idx="4">
                  <c:v>84</c:v>
                </c:pt>
              </c:numCache>
            </c:numRef>
          </c:val>
        </c:ser>
        <c:ser>
          <c:idx val="3"/>
          <c:order val="3"/>
          <c:tx>
            <c:strRef>
              <c:f>'Pivot Tables'!$E$3:$E$4</c:f>
              <c:strCache>
                <c:ptCount val="1"/>
                <c:pt idx="0">
                  <c:v>Rehan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Tables'!$A$5:$A$10</c:f>
              <c:strCache>
                <c:ptCount val="5"/>
                <c:pt idx="0">
                  <c:v>Computer</c:v>
                </c:pt>
                <c:pt idx="1">
                  <c:v>English</c:v>
                </c:pt>
                <c:pt idx="2">
                  <c:v>History</c:v>
                </c:pt>
                <c:pt idx="3">
                  <c:v>Math</c:v>
                </c:pt>
                <c:pt idx="4">
                  <c:v>Science</c:v>
                </c:pt>
              </c:strCache>
            </c:strRef>
          </c:cat>
          <c:val>
            <c:numRef>
              <c:f>'Pivot Tables'!$E$5:$E$10</c:f>
              <c:numCache>
                <c:formatCode>General</c:formatCode>
                <c:ptCount val="5"/>
                <c:pt idx="0">
                  <c:v>81</c:v>
                </c:pt>
                <c:pt idx="1">
                  <c:v>65</c:v>
                </c:pt>
                <c:pt idx="2">
                  <c:v>60</c:v>
                </c:pt>
                <c:pt idx="3">
                  <c:v>68</c:v>
                </c:pt>
                <c:pt idx="4">
                  <c:v>74</c:v>
                </c:pt>
              </c:numCache>
            </c:numRef>
          </c:val>
        </c:ser>
        <c:ser>
          <c:idx val="4"/>
          <c:order val="4"/>
          <c:tx>
            <c:strRef>
              <c:f>'Pivot Tables'!$F$3:$F$4</c:f>
              <c:strCache>
                <c:ptCount val="1"/>
                <c:pt idx="0">
                  <c:v>Sara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Tables'!$A$5:$A$10</c:f>
              <c:strCache>
                <c:ptCount val="5"/>
                <c:pt idx="0">
                  <c:v>Computer</c:v>
                </c:pt>
                <c:pt idx="1">
                  <c:v>English</c:v>
                </c:pt>
                <c:pt idx="2">
                  <c:v>History</c:v>
                </c:pt>
                <c:pt idx="3">
                  <c:v>Math</c:v>
                </c:pt>
                <c:pt idx="4">
                  <c:v>Science</c:v>
                </c:pt>
              </c:strCache>
            </c:strRef>
          </c:cat>
          <c:val>
            <c:numRef>
              <c:f>'Pivot Tables'!$F$5:$F$10</c:f>
              <c:numCache>
                <c:formatCode>General</c:formatCode>
                <c:ptCount val="5"/>
                <c:pt idx="0">
                  <c:v>90</c:v>
                </c:pt>
                <c:pt idx="1">
                  <c:v>75</c:v>
                </c:pt>
                <c:pt idx="2">
                  <c:v>68</c:v>
                </c:pt>
                <c:pt idx="3">
                  <c:v>80</c:v>
                </c:pt>
                <c:pt idx="4">
                  <c:v>89</c:v>
                </c:pt>
              </c:numCache>
            </c:numRef>
          </c:val>
        </c:ser>
        <c:ser>
          <c:idx val="5"/>
          <c:order val="5"/>
          <c:tx>
            <c:strRef>
              <c:f>'Pivot Tables'!$G$3:$G$4</c:f>
              <c:strCache>
                <c:ptCount val="1"/>
                <c:pt idx="0">
                  <c:v>Zoya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Tables'!$A$5:$A$10</c:f>
              <c:strCache>
                <c:ptCount val="5"/>
                <c:pt idx="0">
                  <c:v>Computer</c:v>
                </c:pt>
                <c:pt idx="1">
                  <c:v>English</c:v>
                </c:pt>
                <c:pt idx="2">
                  <c:v>History</c:v>
                </c:pt>
                <c:pt idx="3">
                  <c:v>Math</c:v>
                </c:pt>
                <c:pt idx="4">
                  <c:v>Science</c:v>
                </c:pt>
              </c:strCache>
            </c:strRef>
          </c:cat>
          <c:val>
            <c:numRef>
              <c:f>'Pivot Tables'!$G$5:$G$10</c:f>
              <c:numCache>
                <c:formatCode>General</c:formatCode>
                <c:ptCount val="5"/>
                <c:pt idx="0">
                  <c:v>94</c:v>
                </c:pt>
                <c:pt idx="1">
                  <c:v>83</c:v>
                </c:pt>
                <c:pt idx="2">
                  <c:v>78</c:v>
                </c:pt>
                <c:pt idx="3">
                  <c:v>88</c:v>
                </c:pt>
                <c:pt idx="4">
                  <c:v>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247637154"/>
        <c:axId val="102727262"/>
      </c:barChart>
      <c:catAx>
        <c:axId val="247637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727262"/>
        <c:crosses val="autoZero"/>
        <c:auto val="1"/>
        <c:lblAlgn val="ctr"/>
        <c:lblOffset val="100"/>
        <c:noMultiLvlLbl val="0"/>
      </c:catAx>
      <c:valAx>
        <c:axId val="1027272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763715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e4a0621-da0f-4ba3-92e9-ce78861a57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27</xdr:col>
      <xdr:colOff>288925</xdr:colOff>
      <xdr:row>2</xdr:row>
      <xdr:rowOff>328295</xdr:rowOff>
    </xdr:from>
    <xdr:to>
      <xdr:col>30</xdr:col>
      <xdr:colOff>287655</xdr:colOff>
      <xdr:row>8</xdr:row>
      <xdr:rowOff>125095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Gra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06465" y="694055"/>
              <a:ext cx="1827530" cy="1183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27</xdr:col>
      <xdr:colOff>330200</xdr:colOff>
      <xdr:row>9</xdr:row>
      <xdr:rowOff>114300</xdr:rowOff>
    </xdr:from>
    <xdr:to>
      <xdr:col>30</xdr:col>
      <xdr:colOff>330835</xdr:colOff>
      <xdr:row>18</xdr:row>
      <xdr:rowOff>147320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Subje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je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47740" y="2049780"/>
              <a:ext cx="1829435" cy="1678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27</xdr:col>
      <xdr:colOff>376555</xdr:colOff>
      <xdr:row>19</xdr:row>
      <xdr:rowOff>127000</xdr:rowOff>
    </xdr:from>
    <xdr:to>
      <xdr:col>30</xdr:col>
      <xdr:colOff>376555</xdr:colOff>
      <xdr:row>28</xdr:row>
      <xdr:rowOff>172720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Student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uden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94095" y="3891280"/>
              <a:ext cx="1828800" cy="1691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11</xdr:row>
      <xdr:rowOff>0</xdr:rowOff>
    </xdr:from>
    <xdr:to>
      <xdr:col>9</xdr:col>
      <xdr:colOff>121920</xdr:colOff>
      <xdr:row>32</xdr:row>
      <xdr:rowOff>170815</xdr:rowOff>
    </xdr:to>
    <xdr:graphicFrame>
      <xdr:nvGraphicFramePr>
        <xdr:cNvPr id="6" name="Chart 5"/>
        <xdr:cNvGraphicFramePr/>
      </xdr:nvGraphicFramePr>
      <xdr:xfrm>
        <a:off x="7620" y="2301240"/>
        <a:ext cx="7559040" cy="4011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203835</xdr:colOff>
      <xdr:row>10</xdr:row>
      <xdr:rowOff>75565</xdr:rowOff>
    </xdr:from>
    <xdr:to>
      <xdr:col>26</xdr:col>
      <xdr:colOff>299720</xdr:colOff>
      <xdr:row>32</xdr:row>
      <xdr:rowOff>159385</xdr:rowOff>
    </xdr:to>
    <xdr:graphicFrame>
      <xdr:nvGraphicFramePr>
        <xdr:cNvPr id="7" name="Chart 6" descr="7b0a202020202263686172745265734964223a20223230343732303435220a7d0a"/>
        <xdr:cNvGraphicFramePr/>
      </xdr:nvGraphicFramePr>
      <xdr:xfrm>
        <a:off x="7648575" y="2193925"/>
        <a:ext cx="10459085" cy="4107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1.5696643519" refreshedBy="princ" recordCount="30">
  <cacheSource type="worksheet">
    <worksheetSource name="Table1"/>
  </cacheSource>
  <cacheFields count="8">
    <cacheField name="Student Name" numFmtId="0">
      <sharedItems count="6">
        <s v="Ayaan"/>
        <s v="Sara"/>
        <s v="Kabir"/>
        <s v="Mehek"/>
        <s v="Rehan"/>
        <s v="Zoya"/>
      </sharedItems>
    </cacheField>
    <cacheField name="Student ID" numFmtId="0">
      <sharedItems count="6">
        <s v="STU001"/>
        <s v="STU002"/>
        <s v="STU003"/>
        <s v="STU004"/>
        <s v="STU005"/>
        <s v="STU006"/>
      </sharedItems>
    </cacheField>
    <cacheField name="Class" numFmtId="0">
      <sharedItems count="1">
        <s v="10A"/>
      </sharedItems>
    </cacheField>
    <cacheField name="Gender" numFmtId="0">
      <sharedItems count="2">
        <s v="Male"/>
        <s v="Female"/>
      </sharedItems>
    </cacheField>
    <cacheField name="Subject" numFmtId="0">
      <sharedItems count="5">
        <s v="Math"/>
        <s v="Science"/>
        <s v="English"/>
        <s v="History"/>
        <s v="Computer"/>
      </sharedItems>
    </cacheField>
    <cacheField name="Marks Obtained" numFmtId="0">
      <sharedItems containsSemiMixedTypes="0" containsString="0" containsNumber="1" containsInteger="1" minValue="0" maxValue="95" count="25">
        <n v="86"/>
        <n v="78"/>
        <n v="70"/>
        <n v="65"/>
        <n v="92"/>
        <n v="80"/>
        <n v="89"/>
        <n v="75"/>
        <n v="68"/>
        <n v="90"/>
        <n v="77"/>
        <n v="82"/>
        <n v="71"/>
        <n v="63"/>
        <n v="88"/>
        <n v="84"/>
        <n v="76"/>
        <n v="72"/>
        <n v="95"/>
        <n v="74"/>
        <n v="60"/>
        <n v="81"/>
        <n v="91"/>
        <n v="83"/>
        <n v="94"/>
      </sharedItems>
    </cacheField>
    <cacheField name="Max Marks" numFmtId="0">
      <sharedItems containsSemiMixedTypes="0" containsString="0" containsNumber="1" containsInteger="1" minValue="0" maxValue="100" count="1">
        <n v="100"/>
      </sharedItems>
    </cacheField>
    <cacheField name="Grade" numFmtId="0">
      <sharedItems count="3">
        <s v="A"/>
        <s v="B"/>
        <s v="C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  <x v="0"/>
  </r>
  <r>
    <x v="0"/>
    <x v="0"/>
    <x v="0"/>
    <x v="0"/>
    <x v="1"/>
    <x v="1"/>
    <x v="0"/>
    <x v="1"/>
  </r>
  <r>
    <x v="0"/>
    <x v="0"/>
    <x v="0"/>
    <x v="0"/>
    <x v="2"/>
    <x v="2"/>
    <x v="0"/>
    <x v="1"/>
  </r>
  <r>
    <x v="0"/>
    <x v="0"/>
    <x v="0"/>
    <x v="0"/>
    <x v="3"/>
    <x v="3"/>
    <x v="0"/>
    <x v="2"/>
  </r>
  <r>
    <x v="0"/>
    <x v="0"/>
    <x v="0"/>
    <x v="0"/>
    <x v="4"/>
    <x v="4"/>
    <x v="0"/>
    <x v="0"/>
  </r>
  <r>
    <x v="1"/>
    <x v="1"/>
    <x v="0"/>
    <x v="1"/>
    <x v="0"/>
    <x v="5"/>
    <x v="0"/>
    <x v="1"/>
  </r>
  <r>
    <x v="1"/>
    <x v="1"/>
    <x v="0"/>
    <x v="1"/>
    <x v="1"/>
    <x v="6"/>
    <x v="0"/>
    <x v="0"/>
  </r>
  <r>
    <x v="1"/>
    <x v="1"/>
    <x v="0"/>
    <x v="1"/>
    <x v="2"/>
    <x v="7"/>
    <x v="0"/>
    <x v="1"/>
  </r>
  <r>
    <x v="1"/>
    <x v="1"/>
    <x v="0"/>
    <x v="1"/>
    <x v="3"/>
    <x v="8"/>
    <x v="0"/>
    <x v="2"/>
  </r>
  <r>
    <x v="1"/>
    <x v="1"/>
    <x v="0"/>
    <x v="1"/>
    <x v="4"/>
    <x v="9"/>
    <x v="0"/>
    <x v="0"/>
  </r>
  <r>
    <x v="2"/>
    <x v="2"/>
    <x v="0"/>
    <x v="0"/>
    <x v="0"/>
    <x v="10"/>
    <x v="0"/>
    <x v="1"/>
  </r>
  <r>
    <x v="2"/>
    <x v="2"/>
    <x v="0"/>
    <x v="0"/>
    <x v="1"/>
    <x v="11"/>
    <x v="0"/>
    <x v="1"/>
  </r>
  <r>
    <x v="2"/>
    <x v="2"/>
    <x v="0"/>
    <x v="0"/>
    <x v="2"/>
    <x v="12"/>
    <x v="0"/>
    <x v="1"/>
  </r>
  <r>
    <x v="2"/>
    <x v="2"/>
    <x v="0"/>
    <x v="0"/>
    <x v="3"/>
    <x v="13"/>
    <x v="0"/>
    <x v="2"/>
  </r>
  <r>
    <x v="2"/>
    <x v="2"/>
    <x v="0"/>
    <x v="0"/>
    <x v="4"/>
    <x v="14"/>
    <x v="0"/>
    <x v="0"/>
  </r>
  <r>
    <x v="3"/>
    <x v="3"/>
    <x v="0"/>
    <x v="1"/>
    <x v="0"/>
    <x v="9"/>
    <x v="0"/>
    <x v="0"/>
  </r>
  <r>
    <x v="3"/>
    <x v="3"/>
    <x v="0"/>
    <x v="1"/>
    <x v="1"/>
    <x v="15"/>
    <x v="0"/>
    <x v="1"/>
  </r>
  <r>
    <x v="3"/>
    <x v="3"/>
    <x v="0"/>
    <x v="1"/>
    <x v="2"/>
    <x v="16"/>
    <x v="0"/>
    <x v="1"/>
  </r>
  <r>
    <x v="3"/>
    <x v="3"/>
    <x v="0"/>
    <x v="1"/>
    <x v="3"/>
    <x v="17"/>
    <x v="0"/>
    <x v="1"/>
  </r>
  <r>
    <x v="3"/>
    <x v="3"/>
    <x v="0"/>
    <x v="1"/>
    <x v="4"/>
    <x v="18"/>
    <x v="0"/>
    <x v="0"/>
  </r>
  <r>
    <x v="4"/>
    <x v="4"/>
    <x v="0"/>
    <x v="0"/>
    <x v="0"/>
    <x v="8"/>
    <x v="0"/>
    <x v="2"/>
  </r>
  <r>
    <x v="4"/>
    <x v="4"/>
    <x v="0"/>
    <x v="0"/>
    <x v="1"/>
    <x v="19"/>
    <x v="0"/>
    <x v="1"/>
  </r>
  <r>
    <x v="4"/>
    <x v="4"/>
    <x v="0"/>
    <x v="0"/>
    <x v="2"/>
    <x v="3"/>
    <x v="0"/>
    <x v="2"/>
  </r>
  <r>
    <x v="4"/>
    <x v="4"/>
    <x v="0"/>
    <x v="0"/>
    <x v="3"/>
    <x v="20"/>
    <x v="0"/>
    <x v="2"/>
  </r>
  <r>
    <x v="4"/>
    <x v="4"/>
    <x v="0"/>
    <x v="0"/>
    <x v="4"/>
    <x v="21"/>
    <x v="0"/>
    <x v="1"/>
  </r>
  <r>
    <x v="5"/>
    <x v="5"/>
    <x v="0"/>
    <x v="1"/>
    <x v="0"/>
    <x v="14"/>
    <x v="0"/>
    <x v="0"/>
  </r>
  <r>
    <x v="5"/>
    <x v="5"/>
    <x v="0"/>
    <x v="1"/>
    <x v="1"/>
    <x v="22"/>
    <x v="0"/>
    <x v="0"/>
  </r>
  <r>
    <x v="5"/>
    <x v="5"/>
    <x v="0"/>
    <x v="1"/>
    <x v="2"/>
    <x v="23"/>
    <x v="0"/>
    <x v="1"/>
  </r>
  <r>
    <x v="5"/>
    <x v="5"/>
    <x v="0"/>
    <x v="1"/>
    <x v="3"/>
    <x v="1"/>
    <x v="0"/>
    <x v="1"/>
  </r>
  <r>
    <x v="5"/>
    <x v="5"/>
    <x v="0"/>
    <x v="1"/>
    <x v="4"/>
    <x v="2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0" multipleFieldFilters="0" chartFormat="8">
  <location ref="A3:H10" firstHeaderRow="1" firstDataRow="2" firstDataCol="1"/>
  <pivotFields count="8">
    <pivotField axis="axisCol" compact="0" multipleItemSelectionAllowed="1" showAll="0">
      <items count="7">
        <item x="0"/>
        <item x="2"/>
        <item x="3"/>
        <item x="4"/>
        <item x="1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axis="axisRow" compact="0" sortType="ascending" multipleItemSelectionAllowed="1" showAll="0">
      <items count="6">
        <item x="4"/>
        <item x="2"/>
        <item x="3"/>
        <item x="0"/>
        <item x="1"/>
        <item t="default"/>
      </items>
    </pivotField>
    <pivotField dataField="1" compact="0" showAll="0">
      <items count="26">
        <item x="20"/>
        <item x="13"/>
        <item x="3"/>
        <item x="8"/>
        <item x="2"/>
        <item x="12"/>
        <item x="17"/>
        <item x="19"/>
        <item x="7"/>
        <item x="16"/>
        <item x="10"/>
        <item x="1"/>
        <item x="5"/>
        <item x="21"/>
        <item x="11"/>
        <item x="23"/>
        <item x="15"/>
        <item x="0"/>
        <item x="14"/>
        <item x="6"/>
        <item x="9"/>
        <item x="22"/>
        <item x="4"/>
        <item x="24"/>
        <item x="18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Marks Obtained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4:G22" firstHeaderRow="1" firstDataRow="2" firstDataCol="1"/>
  <pivotFields count="8">
    <pivotField axis="axisRow" compact="0" showAll="0">
      <items count="7">
        <item x="0"/>
        <item x="2"/>
        <item x="3"/>
        <item x="4"/>
        <item x="1"/>
        <item x="5"/>
        <item t="default"/>
      </items>
    </pivotField>
    <pivotField compact="0" showAll="0"/>
    <pivotField compact="0" showAll="0"/>
    <pivotField compact="0" showAll="0"/>
    <pivotField axis="axisCol" compact="0" multipleItemSelectionAllowed="1" showAll="0">
      <items count="6">
        <item x="4"/>
        <item x="2"/>
        <item x="3"/>
        <item x="0"/>
        <item x="1"/>
        <item t="default"/>
      </items>
    </pivotField>
    <pivotField dataField="1" compact="0" showAll="0">
      <items count="26">
        <item x="20"/>
        <item x="13"/>
        <item x="3"/>
        <item x="8"/>
        <item x="2"/>
        <item x="12"/>
        <item x="17"/>
        <item x="19"/>
        <item x="7"/>
        <item x="16"/>
        <item x="10"/>
        <item x="1"/>
        <item x="5"/>
        <item x="21"/>
        <item x="11"/>
        <item x="23"/>
        <item x="15"/>
        <item x="0"/>
        <item x="14"/>
        <item x="6"/>
        <item x="9"/>
        <item x="22"/>
        <item x="4"/>
        <item x="24"/>
        <item x="18"/>
        <item t="default"/>
      </items>
    </pivotField>
    <pivotField compact="0" showAll="0"/>
    <pivotField compact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Marks Obtained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udent_Name" sourceName="Student Name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ject" sourceName="Subject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rade" sourceName="Grade">
  <extLst>
    <x:ext xmlns:x15="http://schemas.microsoft.com/office/spreadsheetml/2010/11/main" uri="{2F2917AC-EB37-4324-AD4E-5DD8C200BD13}">
      <x15:tableSlicerCache tableId="1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rade" cache="Slicer_Grade" caption="Grade" style="SlicerStyleLight2" rowHeight="225425"/>
  <slicer name="Subject" cache="Slicer_Subject" caption="Subject" style="SlicerStyleLight6" rowHeight="225425"/>
  <slicer name="Student Name" cache="Slicer_Student_Name" caption="Student Name" style="SlicerStyleLight4" rowHeight="225425"/>
</slicers>
</file>

<file path=xl/tables/table1.xml><?xml version="1.0" encoding="utf-8"?>
<table xmlns="http://schemas.openxmlformats.org/spreadsheetml/2006/main" id="1" name="Table1" displayName="Table1" ref="A1:H31" totalsRowShown="0">
  <autoFilter xmlns:etc="http://www.wps.cn/officeDocument/2017/etCustomData" ref="A1:H31" etc:filterBottomFollowUsedRange="0"/>
  <tableColumns count="8">
    <tableColumn id="1" name="Student Name" dataDxfId="0"/>
    <tableColumn id="2" name="Student ID" dataDxfId="1"/>
    <tableColumn id="3" name="Class" dataDxfId="2"/>
    <tableColumn id="4" name="Gender" dataDxfId="3"/>
    <tableColumn id="5" name="Subject" dataDxfId="4"/>
    <tableColumn id="6" name="Marks Obtained" dataDxfId="5"/>
    <tableColumn id="7" name="Max Marks" dataDxfId="6"/>
    <tableColumn id="8" name="Grade" dataDxfId="7"/>
  </tableColumns>
  <tableStyleInfo name="TableStylePreset3_Accen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6"/>
  <sheetViews>
    <sheetView showGridLines="0" showRowColHeaders="0" tabSelected="1" zoomScale="70" zoomScaleNormal="70" workbookViewId="0">
      <selection activeCell="X47" sqref="X47"/>
    </sheetView>
  </sheetViews>
  <sheetFormatPr defaultColWidth="8.88888888888889" defaultRowHeight="14.4"/>
  <cols>
    <col min="1" max="1" width="23"/>
    <col min="2" max="6" width="9.77777777777778"/>
    <col min="7" max="7" width="18.8888888888889" customWidth="1"/>
  </cols>
  <sheetData>
    <row r="1" spans="1:3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25.8" spans="1:31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5" spans="1:31">
      <c r="A5" s="7" t="s">
        <v>2</v>
      </c>
      <c r="B5" s="8"/>
      <c r="C5" s="9"/>
      <c r="D5" s="10"/>
      <c r="E5" s="11" t="s">
        <v>3</v>
      </c>
      <c r="F5" s="12"/>
      <c r="G5" s="13"/>
      <c r="H5" s="10"/>
      <c r="I5" s="11" t="s">
        <v>4</v>
      </c>
      <c r="J5" s="14"/>
      <c r="K5" s="15"/>
      <c r="L5" s="10"/>
      <c r="M5" s="11" t="s">
        <v>5</v>
      </c>
      <c r="N5" s="14"/>
      <c r="O5" s="15"/>
      <c r="P5" s="10"/>
      <c r="Q5" s="11" t="s">
        <v>6</v>
      </c>
      <c r="R5" s="12"/>
      <c r="S5" s="13"/>
      <c r="T5" s="10"/>
      <c r="U5" s="11" t="s">
        <v>7</v>
      </c>
      <c r="V5" s="14"/>
      <c r="W5" s="15"/>
      <c r="X5" s="10"/>
      <c r="Y5" s="11" t="s">
        <v>8</v>
      </c>
      <c r="Z5" s="14"/>
      <c r="AA5" s="15"/>
      <c r="AB5" s="10"/>
      <c r="AC5" s="10"/>
    </row>
    <row r="6" spans="1:31">
      <c r="A6" s="16"/>
      <c r="B6" s="17"/>
      <c r="C6" s="18"/>
      <c r="D6" s="10"/>
      <c r="E6" s="19"/>
      <c r="F6" s="20"/>
      <c r="G6" s="21"/>
      <c r="H6" s="10"/>
      <c r="I6" s="22"/>
      <c r="J6" s="23"/>
      <c r="K6" s="24"/>
      <c r="L6" s="10"/>
      <c r="M6" s="22"/>
      <c r="N6" s="23"/>
      <c r="O6" s="24"/>
      <c r="P6" s="10"/>
      <c r="Q6" s="19"/>
      <c r="R6" s="20"/>
      <c r="S6" s="21"/>
      <c r="T6" s="10"/>
      <c r="U6" s="22"/>
      <c r="V6" s="23"/>
      <c r="W6" s="24"/>
      <c r="X6" s="10"/>
      <c r="Y6" s="22"/>
      <c r="Z6" s="23"/>
      <c r="AA6" s="24"/>
      <c r="AB6" s="10"/>
      <c r="AC6" s="10"/>
    </row>
    <row r="7" spans="1:31">
      <c r="A7" s="16"/>
      <c r="B7" s="17"/>
      <c r="C7" s="18"/>
      <c r="D7" s="10"/>
      <c r="E7" s="19"/>
      <c r="F7" s="20"/>
      <c r="G7" s="21"/>
      <c r="H7" s="10"/>
      <c r="I7" s="22"/>
      <c r="J7" s="23"/>
      <c r="K7" s="24"/>
      <c r="L7" s="10"/>
      <c r="M7" s="22"/>
      <c r="N7" s="23"/>
      <c r="O7" s="24"/>
      <c r="P7" s="10"/>
      <c r="Q7" s="19"/>
      <c r="R7" s="20"/>
      <c r="S7" s="21"/>
      <c r="T7" s="10"/>
      <c r="U7" s="22"/>
      <c r="V7" s="23"/>
      <c r="W7" s="24"/>
      <c r="X7" s="10"/>
      <c r="Y7" s="22"/>
      <c r="Z7" s="23"/>
      <c r="AA7" s="24"/>
      <c r="AB7" s="10"/>
      <c r="AC7" s="10"/>
    </row>
    <row r="8" ht="25.8" spans="1:31">
      <c r="A8" s="25" cm="1">
        <f t="array" ref="A8">COUNTA(_xlfn.UNIQUE(Data!B2:B31))</f>
        <v>6</v>
      </c>
      <c r="B8" s="26"/>
      <c r="C8" s="27"/>
      <c r="D8" s="10"/>
      <c r="E8" s="25">
        <f>AVERAGE(Data!F2:F31)</f>
        <v>79.1</v>
      </c>
      <c r="F8" s="26"/>
      <c r="G8" s="27"/>
      <c r="H8" s="10"/>
      <c r="I8" s="25">
        <f>MAX(Data!F2:F31)</f>
        <v>95</v>
      </c>
      <c r="J8" s="26"/>
      <c r="K8" s="27"/>
      <c r="L8" s="10"/>
      <c r="M8" s="25">
        <f>MIN(Data!F2:F31)</f>
        <v>60</v>
      </c>
      <c r="N8" s="26"/>
      <c r="O8" s="27"/>
      <c r="P8" s="10"/>
      <c r="Q8" s="25">
        <f>COUNTIF(Data!H2:H31,"A")</f>
        <v>10</v>
      </c>
      <c r="R8" s="26"/>
      <c r="S8" s="27"/>
      <c r="T8" s="10"/>
      <c r="U8" s="25">
        <f>COUNTIF(Data!H2:H31,"B")</f>
        <v>14</v>
      </c>
      <c r="V8" s="26"/>
      <c r="W8" s="27"/>
      <c r="X8" s="10"/>
      <c r="Y8" s="25">
        <f>COUNTIF(Data!H2:H31,"C")</f>
        <v>6</v>
      </c>
      <c r="Z8" s="26"/>
      <c r="AA8" s="27"/>
      <c r="AB8" s="10"/>
      <c r="AC8" s="10"/>
    </row>
    <row r="39" spans="1:31">
      <c r="A39" s="28" t="s">
        <v>9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spans="1:3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spans="1:3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1:3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1:3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1:3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spans="1:3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spans="1:3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</sheetData>
  <mergeCells count="17">
    <mergeCell ref="A3:AE3"/>
    <mergeCell ref="A8:C8"/>
    <mergeCell ref="E8:G8"/>
    <mergeCell ref="I8:K8"/>
    <mergeCell ref="M8:O8"/>
    <mergeCell ref="Q8:S8"/>
    <mergeCell ref="U8:W8"/>
    <mergeCell ref="Y8:AA8"/>
    <mergeCell ref="A5:C7"/>
    <mergeCell ref="M5:O7"/>
    <mergeCell ref="Y5:AA7"/>
    <mergeCell ref="E5:G7"/>
    <mergeCell ref="Q5:S7"/>
    <mergeCell ref="I5:K7"/>
    <mergeCell ref="U5:W7"/>
    <mergeCell ref="A39:AE46"/>
    <mergeCell ref="A1:AE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2"/>
  <sheetViews>
    <sheetView workbookViewId="0">
      <selection activeCell="M16" sqref="M16"/>
    </sheetView>
  </sheetViews>
  <sheetFormatPr defaultColWidth="8.88888888888889" defaultRowHeight="14.4" outlineLevelCol="7"/>
  <cols>
    <col min="1" max="1" width="23"/>
    <col min="2" max="7" width="15.6666666666667"/>
    <col min="8" max="8" width="11.4444444444444"/>
  </cols>
  <sheetData>
    <row r="3" spans="1:8">
      <c r="A3" t="s">
        <v>10</v>
      </c>
      <c r="B3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92</v>
      </c>
      <c r="C5">
        <v>88</v>
      </c>
      <c r="D5">
        <v>95</v>
      </c>
      <c r="E5">
        <v>81</v>
      </c>
      <c r="F5">
        <v>90</v>
      </c>
      <c r="G5">
        <v>94</v>
      </c>
      <c r="H5">
        <v>540</v>
      </c>
    </row>
    <row r="6" spans="1:8">
      <c r="A6" t="s">
        <v>21</v>
      </c>
      <c r="B6">
        <v>70</v>
      </c>
      <c r="C6">
        <v>71</v>
      </c>
      <c r="D6">
        <v>76</v>
      </c>
      <c r="E6">
        <v>65</v>
      </c>
      <c r="F6">
        <v>75</v>
      </c>
      <c r="G6">
        <v>83</v>
      </c>
      <c r="H6">
        <v>440</v>
      </c>
    </row>
    <row r="7" spans="1:8">
      <c r="A7" t="s">
        <v>22</v>
      </c>
      <c r="B7">
        <v>65</v>
      </c>
      <c r="C7">
        <v>63</v>
      </c>
      <c r="D7">
        <v>72</v>
      </c>
      <c r="E7">
        <v>60</v>
      </c>
      <c r="F7">
        <v>68</v>
      </c>
      <c r="G7">
        <v>78</v>
      </c>
      <c r="H7">
        <v>406</v>
      </c>
    </row>
    <row r="8" spans="1:8">
      <c r="A8" t="s">
        <v>23</v>
      </c>
      <c r="B8">
        <v>86</v>
      </c>
      <c r="C8">
        <v>77</v>
      </c>
      <c r="D8">
        <v>90</v>
      </c>
      <c r="E8">
        <v>68</v>
      </c>
      <c r="F8">
        <v>80</v>
      </c>
      <c r="G8">
        <v>88</v>
      </c>
      <c r="H8">
        <v>489</v>
      </c>
    </row>
    <row r="9" spans="1:8">
      <c r="A9" t="s">
        <v>24</v>
      </c>
      <c r="B9">
        <v>78</v>
      </c>
      <c r="C9">
        <v>82</v>
      </c>
      <c r="D9">
        <v>84</v>
      </c>
      <c r="E9">
        <v>74</v>
      </c>
      <c r="F9">
        <v>89</v>
      </c>
      <c r="G9">
        <v>91</v>
      </c>
      <c r="H9">
        <v>498</v>
      </c>
    </row>
    <row r="10" spans="1:8">
      <c r="A10" t="s">
        <v>19</v>
      </c>
      <c r="B10">
        <v>391</v>
      </c>
      <c r="C10">
        <v>381</v>
      </c>
      <c r="D10">
        <v>417</v>
      </c>
      <c r="E10">
        <v>348</v>
      </c>
      <c r="F10">
        <v>402</v>
      </c>
      <c r="G10">
        <v>434</v>
      </c>
      <c r="H10">
        <v>2373</v>
      </c>
    </row>
    <row r="14" spans="1:8">
      <c r="A14" t="s">
        <v>10</v>
      </c>
      <c r="B14" t="s">
        <v>12</v>
      </c>
    </row>
    <row r="15" spans="1:8">
      <c r="A15" t="s">
        <v>11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19</v>
      </c>
    </row>
    <row r="16" spans="1:8">
      <c r="A16" t="s">
        <v>13</v>
      </c>
      <c r="B16">
        <v>92</v>
      </c>
      <c r="C16">
        <v>70</v>
      </c>
      <c r="D16">
        <v>65</v>
      </c>
      <c r="E16">
        <v>86</v>
      </c>
      <c r="F16">
        <v>78</v>
      </c>
      <c r="G16">
        <v>391</v>
      </c>
    </row>
    <row r="17" spans="1:7">
      <c r="A17" t="s">
        <v>14</v>
      </c>
      <c r="B17">
        <v>88</v>
      </c>
      <c r="C17">
        <v>71</v>
      </c>
      <c r="D17">
        <v>63</v>
      </c>
      <c r="E17">
        <v>77</v>
      </c>
      <c r="F17">
        <v>82</v>
      </c>
      <c r="G17">
        <v>381</v>
      </c>
    </row>
    <row r="18" spans="1:7">
      <c r="A18" t="s">
        <v>15</v>
      </c>
      <c r="B18">
        <v>95</v>
      </c>
      <c r="C18">
        <v>76</v>
      </c>
      <c r="D18">
        <v>72</v>
      </c>
      <c r="E18">
        <v>90</v>
      </c>
      <c r="F18">
        <v>84</v>
      </c>
      <c r="G18">
        <v>417</v>
      </c>
    </row>
    <row r="19" spans="1:7">
      <c r="A19" t="s">
        <v>16</v>
      </c>
      <c r="B19">
        <v>81</v>
      </c>
      <c r="C19">
        <v>65</v>
      </c>
      <c r="D19">
        <v>60</v>
      </c>
      <c r="E19">
        <v>68</v>
      </c>
      <c r="F19">
        <v>74</v>
      </c>
      <c r="G19">
        <v>348</v>
      </c>
    </row>
    <row r="20" spans="1:7">
      <c r="A20" t="s">
        <v>17</v>
      </c>
      <c r="B20">
        <v>90</v>
      </c>
      <c r="C20">
        <v>75</v>
      </c>
      <c r="D20">
        <v>68</v>
      </c>
      <c r="E20">
        <v>80</v>
      </c>
      <c r="F20">
        <v>89</v>
      </c>
      <c r="G20">
        <v>402</v>
      </c>
    </row>
    <row r="21" spans="1:7">
      <c r="A21" t="s">
        <v>18</v>
      </c>
      <c r="B21">
        <v>94</v>
      </c>
      <c r="C21">
        <v>83</v>
      </c>
      <c r="D21">
        <v>78</v>
      </c>
      <c r="E21">
        <v>88</v>
      </c>
      <c r="F21">
        <v>91</v>
      </c>
      <c r="G21">
        <v>434</v>
      </c>
    </row>
    <row r="22" spans="1:7">
      <c r="A22" t="s">
        <v>19</v>
      </c>
      <c r="B22">
        <v>540</v>
      </c>
      <c r="C22">
        <v>440</v>
      </c>
      <c r="D22">
        <v>406</v>
      </c>
      <c r="E22">
        <v>489</v>
      </c>
      <c r="F22">
        <v>498</v>
      </c>
      <c r="G22">
        <v>2373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zoomScale="115" zoomScaleNormal="115" workbookViewId="0">
      <selection activeCell="J5" sqref="J5"/>
    </sheetView>
  </sheetViews>
  <sheetFormatPr defaultColWidth="9" defaultRowHeight="14.4"/>
  <cols>
    <col min="1" max="1" width="13.4259259259259" style="1" customWidth="1"/>
    <col min="2" max="5" width="9" style="1"/>
    <col min="6" max="6" width="17.4722222222222" style="1" customWidth="1"/>
    <col min="7" max="16384" width="9" style="1"/>
  </cols>
  <sheetData>
    <row r="1" spans="1:9">
      <c r="A1" t="s">
        <v>11</v>
      </c>
      <c r="B1" t="s">
        <v>25</v>
      </c>
      <c r="C1" t="s">
        <v>26</v>
      </c>
      <c r="D1" t="s">
        <v>27</v>
      </c>
      <c r="E1" t="s">
        <v>12</v>
      </c>
      <c r="F1" t="s">
        <v>28</v>
      </c>
      <c r="G1" t="s">
        <v>29</v>
      </c>
      <c r="H1" t="s">
        <v>30</v>
      </c>
    </row>
    <row r="2" spans="1:9">
      <c r="A2" s="2" t="s">
        <v>13</v>
      </c>
      <c r="B2" s="2" t="s">
        <v>31</v>
      </c>
      <c r="C2" s="2" t="s">
        <v>32</v>
      </c>
      <c r="D2" s="2" t="s">
        <v>33</v>
      </c>
      <c r="E2" s="2" t="s">
        <v>23</v>
      </c>
      <c r="F2" s="2">
        <v>86</v>
      </c>
      <c r="G2" s="2">
        <v>100</v>
      </c>
      <c r="H2" s="2" t="s">
        <v>34</v>
      </c>
      <c r="I2" s="3"/>
    </row>
    <row r="3" spans="1:9">
      <c r="A3" s="2" t="s">
        <v>13</v>
      </c>
      <c r="B3" s="2" t="s">
        <v>31</v>
      </c>
      <c r="C3" s="2" t="s">
        <v>32</v>
      </c>
      <c r="D3" s="2" t="s">
        <v>33</v>
      </c>
      <c r="E3" s="2" t="s">
        <v>24</v>
      </c>
      <c r="F3" s="2">
        <v>78</v>
      </c>
      <c r="G3" s="2">
        <v>100</v>
      </c>
      <c r="H3" s="2" t="s">
        <v>35</v>
      </c>
      <c r="I3" s="3"/>
    </row>
    <row r="4" spans="1:9">
      <c r="A4" s="2" t="s">
        <v>13</v>
      </c>
      <c r="B4" s="2" t="s">
        <v>31</v>
      </c>
      <c r="C4" s="2" t="s">
        <v>32</v>
      </c>
      <c r="D4" s="2" t="s">
        <v>33</v>
      </c>
      <c r="E4" s="2" t="s">
        <v>21</v>
      </c>
      <c r="F4" s="2">
        <v>70</v>
      </c>
      <c r="G4" s="2">
        <v>100</v>
      </c>
      <c r="H4" s="2" t="s">
        <v>35</v>
      </c>
      <c r="I4" s="3"/>
    </row>
    <row r="5" spans="1:9">
      <c r="A5" s="2" t="s">
        <v>13</v>
      </c>
      <c r="B5" s="2" t="s">
        <v>31</v>
      </c>
      <c r="C5" s="2" t="s">
        <v>32</v>
      </c>
      <c r="D5" s="2" t="s">
        <v>33</v>
      </c>
      <c r="E5" s="2" t="s">
        <v>22</v>
      </c>
      <c r="F5" s="2">
        <v>65</v>
      </c>
      <c r="G5" s="2">
        <v>100</v>
      </c>
      <c r="H5" s="2" t="s">
        <v>36</v>
      </c>
      <c r="I5" s="3"/>
    </row>
    <row r="6" spans="1:9">
      <c r="A6" s="2" t="s">
        <v>13</v>
      </c>
      <c r="B6" s="2" t="s">
        <v>31</v>
      </c>
      <c r="C6" s="2" t="s">
        <v>32</v>
      </c>
      <c r="D6" s="2" t="s">
        <v>33</v>
      </c>
      <c r="E6" s="2" t="s">
        <v>20</v>
      </c>
      <c r="F6" s="2">
        <v>92</v>
      </c>
      <c r="G6" s="2">
        <v>100</v>
      </c>
      <c r="H6" s="2" t="s">
        <v>34</v>
      </c>
      <c r="I6" s="3"/>
    </row>
    <row r="7" spans="1:9">
      <c r="A7" s="2" t="s">
        <v>17</v>
      </c>
      <c r="B7" s="2" t="s">
        <v>37</v>
      </c>
      <c r="C7" s="2" t="s">
        <v>32</v>
      </c>
      <c r="D7" s="2" t="s">
        <v>38</v>
      </c>
      <c r="E7" s="2" t="s">
        <v>23</v>
      </c>
      <c r="F7" s="2">
        <v>80</v>
      </c>
      <c r="G7" s="2">
        <v>100</v>
      </c>
      <c r="H7" s="2" t="s">
        <v>35</v>
      </c>
      <c r="I7" s="3"/>
    </row>
    <row r="8" spans="1:9">
      <c r="A8" s="2" t="s">
        <v>17</v>
      </c>
      <c r="B8" s="2" t="s">
        <v>37</v>
      </c>
      <c r="C8" s="2" t="s">
        <v>32</v>
      </c>
      <c r="D8" s="2" t="s">
        <v>38</v>
      </c>
      <c r="E8" s="2" t="s">
        <v>24</v>
      </c>
      <c r="F8" s="2">
        <v>89</v>
      </c>
      <c r="G8" s="2">
        <v>100</v>
      </c>
      <c r="H8" s="2" t="s">
        <v>34</v>
      </c>
      <c r="I8" s="3"/>
    </row>
    <row r="9" spans="1:9">
      <c r="A9" s="2" t="s">
        <v>17</v>
      </c>
      <c r="B9" s="2" t="s">
        <v>37</v>
      </c>
      <c r="C9" s="2" t="s">
        <v>32</v>
      </c>
      <c r="D9" s="2" t="s">
        <v>38</v>
      </c>
      <c r="E9" s="2" t="s">
        <v>21</v>
      </c>
      <c r="F9" s="2">
        <v>75</v>
      </c>
      <c r="G9" s="2">
        <v>100</v>
      </c>
      <c r="H9" s="2" t="s">
        <v>35</v>
      </c>
      <c r="I9" s="3"/>
    </row>
    <row r="10" spans="1:9">
      <c r="A10" s="2" t="s">
        <v>17</v>
      </c>
      <c r="B10" s="2" t="s">
        <v>37</v>
      </c>
      <c r="C10" s="2" t="s">
        <v>32</v>
      </c>
      <c r="D10" s="2" t="s">
        <v>38</v>
      </c>
      <c r="E10" s="2" t="s">
        <v>22</v>
      </c>
      <c r="F10" s="2">
        <v>68</v>
      </c>
      <c r="G10" s="2">
        <v>100</v>
      </c>
      <c r="H10" s="2" t="s">
        <v>36</v>
      </c>
      <c r="I10" s="3"/>
    </row>
    <row r="11" spans="1:9">
      <c r="A11" s="2" t="s">
        <v>17</v>
      </c>
      <c r="B11" s="2" t="s">
        <v>37</v>
      </c>
      <c r="C11" s="2" t="s">
        <v>32</v>
      </c>
      <c r="D11" s="2" t="s">
        <v>38</v>
      </c>
      <c r="E11" s="2" t="s">
        <v>20</v>
      </c>
      <c r="F11" s="2">
        <v>90</v>
      </c>
      <c r="G11" s="2">
        <v>100</v>
      </c>
      <c r="H11" s="2" t="s">
        <v>34</v>
      </c>
      <c r="I11" s="3"/>
    </row>
    <row r="12" spans="1:9">
      <c r="A12" s="2" t="s">
        <v>14</v>
      </c>
      <c r="B12" s="2" t="s">
        <v>39</v>
      </c>
      <c r="C12" s="2" t="s">
        <v>32</v>
      </c>
      <c r="D12" s="2" t="s">
        <v>33</v>
      </c>
      <c r="E12" s="2" t="s">
        <v>23</v>
      </c>
      <c r="F12" s="2">
        <v>77</v>
      </c>
      <c r="G12" s="2">
        <v>100</v>
      </c>
      <c r="H12" s="2" t="s">
        <v>35</v>
      </c>
      <c r="I12" s="3"/>
    </row>
    <row r="13" spans="1:9">
      <c r="A13" s="2" t="s">
        <v>14</v>
      </c>
      <c r="B13" s="2" t="s">
        <v>39</v>
      </c>
      <c r="C13" s="2" t="s">
        <v>32</v>
      </c>
      <c r="D13" s="2" t="s">
        <v>33</v>
      </c>
      <c r="E13" s="2" t="s">
        <v>24</v>
      </c>
      <c r="F13" s="2">
        <v>82</v>
      </c>
      <c r="G13" s="2">
        <v>100</v>
      </c>
      <c r="H13" s="2" t="s">
        <v>35</v>
      </c>
      <c r="I13" s="3"/>
    </row>
    <row r="14" spans="1:9">
      <c r="A14" s="2" t="s">
        <v>14</v>
      </c>
      <c r="B14" s="2" t="s">
        <v>39</v>
      </c>
      <c r="C14" s="2" t="s">
        <v>32</v>
      </c>
      <c r="D14" s="2" t="s">
        <v>33</v>
      </c>
      <c r="E14" s="2" t="s">
        <v>21</v>
      </c>
      <c r="F14" s="2">
        <v>71</v>
      </c>
      <c r="G14" s="2">
        <v>100</v>
      </c>
      <c r="H14" s="2" t="s">
        <v>35</v>
      </c>
      <c r="I14" s="3"/>
    </row>
    <row r="15" spans="1:9">
      <c r="A15" s="2" t="s">
        <v>14</v>
      </c>
      <c r="B15" s="2" t="s">
        <v>39</v>
      </c>
      <c r="C15" s="2" t="s">
        <v>32</v>
      </c>
      <c r="D15" s="2" t="s">
        <v>33</v>
      </c>
      <c r="E15" s="2" t="s">
        <v>22</v>
      </c>
      <c r="F15" s="2">
        <v>63</v>
      </c>
      <c r="G15" s="2">
        <v>100</v>
      </c>
      <c r="H15" s="2" t="s">
        <v>36</v>
      </c>
      <c r="I15" s="3"/>
    </row>
    <row r="16" spans="1:9">
      <c r="A16" s="2" t="s">
        <v>14</v>
      </c>
      <c r="B16" s="2" t="s">
        <v>39</v>
      </c>
      <c r="C16" s="2" t="s">
        <v>32</v>
      </c>
      <c r="D16" s="2" t="s">
        <v>33</v>
      </c>
      <c r="E16" s="2" t="s">
        <v>20</v>
      </c>
      <c r="F16" s="2">
        <v>88</v>
      </c>
      <c r="G16" s="2">
        <v>100</v>
      </c>
      <c r="H16" s="2" t="s">
        <v>34</v>
      </c>
      <c r="I16" s="3"/>
    </row>
    <row r="17" spans="1:9">
      <c r="A17" s="2" t="s">
        <v>15</v>
      </c>
      <c r="B17" s="2" t="s">
        <v>40</v>
      </c>
      <c r="C17" s="2" t="s">
        <v>32</v>
      </c>
      <c r="D17" s="2" t="s">
        <v>38</v>
      </c>
      <c r="E17" s="2" t="s">
        <v>23</v>
      </c>
      <c r="F17" s="2">
        <v>90</v>
      </c>
      <c r="G17" s="2">
        <v>100</v>
      </c>
      <c r="H17" s="2" t="s">
        <v>34</v>
      </c>
      <c r="I17" s="3"/>
    </row>
    <row r="18" spans="1:9">
      <c r="A18" s="2" t="s">
        <v>15</v>
      </c>
      <c r="B18" s="2" t="s">
        <v>40</v>
      </c>
      <c r="C18" s="2" t="s">
        <v>32</v>
      </c>
      <c r="D18" s="2" t="s">
        <v>38</v>
      </c>
      <c r="E18" s="2" t="s">
        <v>24</v>
      </c>
      <c r="F18" s="2">
        <v>84</v>
      </c>
      <c r="G18" s="2">
        <v>100</v>
      </c>
      <c r="H18" s="2" t="s">
        <v>35</v>
      </c>
      <c r="I18" s="3"/>
    </row>
    <row r="19" spans="1:9">
      <c r="A19" s="2" t="s">
        <v>15</v>
      </c>
      <c r="B19" s="2" t="s">
        <v>40</v>
      </c>
      <c r="C19" s="2" t="s">
        <v>32</v>
      </c>
      <c r="D19" s="2" t="s">
        <v>38</v>
      </c>
      <c r="E19" s="2" t="s">
        <v>21</v>
      </c>
      <c r="F19" s="2">
        <v>76</v>
      </c>
      <c r="G19" s="2">
        <v>100</v>
      </c>
      <c r="H19" s="2" t="s">
        <v>35</v>
      </c>
      <c r="I19" s="3"/>
    </row>
    <row r="20" spans="1:9">
      <c r="A20" s="2" t="s">
        <v>15</v>
      </c>
      <c r="B20" s="2" t="s">
        <v>40</v>
      </c>
      <c r="C20" s="2" t="s">
        <v>32</v>
      </c>
      <c r="D20" s="2" t="s">
        <v>38</v>
      </c>
      <c r="E20" s="2" t="s">
        <v>22</v>
      </c>
      <c r="F20" s="2">
        <v>72</v>
      </c>
      <c r="G20" s="2">
        <v>100</v>
      </c>
      <c r="H20" s="2" t="s">
        <v>35</v>
      </c>
      <c r="I20" s="3"/>
    </row>
    <row r="21" spans="1:9">
      <c r="A21" s="2" t="s">
        <v>15</v>
      </c>
      <c r="B21" s="2" t="s">
        <v>40</v>
      </c>
      <c r="C21" s="2" t="s">
        <v>32</v>
      </c>
      <c r="D21" s="2" t="s">
        <v>38</v>
      </c>
      <c r="E21" s="2" t="s">
        <v>20</v>
      </c>
      <c r="F21" s="2">
        <v>95</v>
      </c>
      <c r="G21" s="2">
        <v>100</v>
      </c>
      <c r="H21" s="2" t="s">
        <v>34</v>
      </c>
      <c r="I21" s="3"/>
    </row>
    <row r="22" spans="1:9">
      <c r="A22" s="2" t="s">
        <v>16</v>
      </c>
      <c r="B22" s="2" t="s">
        <v>41</v>
      </c>
      <c r="C22" s="2" t="s">
        <v>32</v>
      </c>
      <c r="D22" s="2" t="s">
        <v>33</v>
      </c>
      <c r="E22" s="2" t="s">
        <v>23</v>
      </c>
      <c r="F22" s="2">
        <v>68</v>
      </c>
      <c r="G22" s="2">
        <v>100</v>
      </c>
      <c r="H22" s="2" t="s">
        <v>36</v>
      </c>
      <c r="I22" s="3"/>
    </row>
    <row r="23" spans="1:9">
      <c r="A23" s="2" t="s">
        <v>16</v>
      </c>
      <c r="B23" s="2" t="s">
        <v>41</v>
      </c>
      <c r="C23" s="2" t="s">
        <v>32</v>
      </c>
      <c r="D23" s="2" t="s">
        <v>33</v>
      </c>
      <c r="E23" s="2" t="s">
        <v>24</v>
      </c>
      <c r="F23" s="2">
        <v>74</v>
      </c>
      <c r="G23" s="2">
        <v>100</v>
      </c>
      <c r="H23" s="2" t="s">
        <v>35</v>
      </c>
      <c r="I23" s="3"/>
    </row>
    <row r="24" spans="1:9">
      <c r="A24" s="2" t="s">
        <v>16</v>
      </c>
      <c r="B24" s="2" t="s">
        <v>41</v>
      </c>
      <c r="C24" s="2" t="s">
        <v>32</v>
      </c>
      <c r="D24" s="2" t="s">
        <v>33</v>
      </c>
      <c r="E24" s="2" t="s">
        <v>21</v>
      </c>
      <c r="F24" s="2">
        <v>65</v>
      </c>
      <c r="G24" s="2">
        <v>100</v>
      </c>
      <c r="H24" s="2" t="s">
        <v>36</v>
      </c>
      <c r="I24" s="3"/>
    </row>
    <row r="25" spans="1:9">
      <c r="A25" s="2" t="s">
        <v>16</v>
      </c>
      <c r="B25" s="2" t="s">
        <v>41</v>
      </c>
      <c r="C25" s="2" t="s">
        <v>32</v>
      </c>
      <c r="D25" s="2" t="s">
        <v>33</v>
      </c>
      <c r="E25" s="2" t="s">
        <v>22</v>
      </c>
      <c r="F25" s="2">
        <v>60</v>
      </c>
      <c r="G25" s="2">
        <v>100</v>
      </c>
      <c r="H25" s="2" t="s">
        <v>36</v>
      </c>
      <c r="I25" s="3"/>
    </row>
    <row r="26" spans="1:9">
      <c r="A26" s="2" t="s">
        <v>16</v>
      </c>
      <c r="B26" s="2" t="s">
        <v>41</v>
      </c>
      <c r="C26" s="2" t="s">
        <v>32</v>
      </c>
      <c r="D26" s="2" t="s">
        <v>33</v>
      </c>
      <c r="E26" s="2" t="s">
        <v>20</v>
      </c>
      <c r="F26" s="2">
        <v>81</v>
      </c>
      <c r="G26" s="2">
        <v>100</v>
      </c>
      <c r="H26" s="2" t="s">
        <v>35</v>
      </c>
      <c r="I26" s="3"/>
    </row>
    <row r="27" spans="1:9">
      <c r="A27" s="2" t="s">
        <v>18</v>
      </c>
      <c r="B27" s="2" t="s">
        <v>42</v>
      </c>
      <c r="C27" s="2" t="s">
        <v>32</v>
      </c>
      <c r="D27" s="2" t="s">
        <v>38</v>
      </c>
      <c r="E27" s="2" t="s">
        <v>23</v>
      </c>
      <c r="F27" s="2">
        <v>88</v>
      </c>
      <c r="G27" s="2">
        <v>100</v>
      </c>
      <c r="H27" s="2" t="s">
        <v>34</v>
      </c>
      <c r="I27" s="3"/>
    </row>
    <row r="28" spans="1:9">
      <c r="A28" s="2" t="s">
        <v>18</v>
      </c>
      <c r="B28" s="2" t="s">
        <v>42</v>
      </c>
      <c r="C28" s="2" t="s">
        <v>32</v>
      </c>
      <c r="D28" s="2" t="s">
        <v>38</v>
      </c>
      <c r="E28" s="2" t="s">
        <v>24</v>
      </c>
      <c r="F28" s="2">
        <v>91</v>
      </c>
      <c r="G28" s="2">
        <v>100</v>
      </c>
      <c r="H28" s="2" t="s">
        <v>34</v>
      </c>
      <c r="I28" s="3"/>
    </row>
    <row r="29" spans="1:9">
      <c r="A29" s="2" t="s">
        <v>18</v>
      </c>
      <c r="B29" s="2" t="s">
        <v>42</v>
      </c>
      <c r="C29" s="2" t="s">
        <v>32</v>
      </c>
      <c r="D29" s="2" t="s">
        <v>38</v>
      </c>
      <c r="E29" s="2" t="s">
        <v>21</v>
      </c>
      <c r="F29" s="2">
        <v>83</v>
      </c>
      <c r="G29" s="2">
        <v>100</v>
      </c>
      <c r="H29" s="2" t="s">
        <v>35</v>
      </c>
      <c r="I29" s="3"/>
    </row>
    <row r="30" spans="1:9">
      <c r="A30" s="2" t="s">
        <v>18</v>
      </c>
      <c r="B30" s="2" t="s">
        <v>42</v>
      </c>
      <c r="C30" s="2" t="s">
        <v>32</v>
      </c>
      <c r="D30" s="2" t="s">
        <v>38</v>
      </c>
      <c r="E30" s="2" t="s">
        <v>22</v>
      </c>
      <c r="F30" s="2">
        <v>78</v>
      </c>
      <c r="G30" s="2">
        <v>100</v>
      </c>
      <c r="H30" s="2" t="s">
        <v>35</v>
      </c>
      <c r="I30" s="3"/>
    </row>
    <row r="31" spans="1:9">
      <c r="A31" s="2" t="s">
        <v>18</v>
      </c>
      <c r="B31" s="2" t="s">
        <v>42</v>
      </c>
      <c r="C31" s="2" t="s">
        <v>32</v>
      </c>
      <c r="D31" s="2" t="s">
        <v>38</v>
      </c>
      <c r="E31" s="2" t="s">
        <v>20</v>
      </c>
      <c r="F31" s="2">
        <v>94</v>
      </c>
      <c r="G31" s="2">
        <v>100</v>
      </c>
      <c r="H31" s="2" t="s">
        <v>34</v>
      </c>
      <c r="I31" s="3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Pivot Tables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Mehek</dc:creator>
  <cp:lastModifiedBy>Mehek Shaik</cp:lastModifiedBy>
  <dcterms:created xsi:type="dcterms:W3CDTF">2025-06-29T18:13:00Z</dcterms:created>
  <dcterms:modified xsi:type="dcterms:W3CDTF">2026-06-18T10:02:52Z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636EC3BDCCE147CFA87EEB043C0BD5D1_13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